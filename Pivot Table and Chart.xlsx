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8_{B47EE4E5-E55D-44D8-8792-134AA2006A37}" xr6:coauthVersionLast="36" xr6:coauthVersionMax="36" xr10:uidLastSave="{00000000-0000-0000-0000-000000000000}"/>
  <bookViews>
    <workbookView xWindow="0" yWindow="0" windowWidth="19200" windowHeight="6930" xr2:uid="{1DBCF2F6-C283-4F5D-B6FF-1449B250E4AB}"/>
  </bookViews>
  <sheets>
    <sheet name="Main Data" sheetId="1" r:id="rId1"/>
    <sheet name="Total sales by Region" sheetId="3" r:id="rId2"/>
    <sheet name="Conditional formatting" sheetId="4" r:id="rId3"/>
    <sheet name="sorting" sheetId="5" r:id="rId4"/>
    <sheet name="Filter" sheetId="6" r:id="rId5"/>
    <sheet name="Monthly sales trend" sheetId="7" r:id="rId6"/>
    <sheet name="Slicer" sheetId="8" r:id="rId7"/>
    <sheet name="Dashboard" sheetId="9" r:id="rId8"/>
    <sheet name="Average sales per month" sheetId="10" r:id="rId9"/>
    <sheet name="Comparing " sheetId="11" r:id="rId10"/>
  </sheets>
  <definedNames>
    <definedName name="Slicer_Product">#N/A</definedName>
    <definedName name="Slicer_Product1">#N/A</definedName>
  </definedNames>
  <calcPr calcId="191029"/>
  <pivotCaches>
    <pivotCache cacheId="1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11" l="1"/>
  <c r="C3" i="11"/>
</calcChain>
</file>

<file path=xl/sharedStrings.xml><?xml version="1.0" encoding="utf-8"?>
<sst xmlns="http://schemas.openxmlformats.org/spreadsheetml/2006/main" count="259" uniqueCount="24">
  <si>
    <t>Date</t>
  </si>
  <si>
    <t>Region</t>
  </si>
  <si>
    <t>Product</t>
  </si>
  <si>
    <t>Sales</t>
  </si>
  <si>
    <t>Quantity</t>
  </si>
  <si>
    <t>West</t>
  </si>
  <si>
    <t>Mangoes</t>
  </si>
  <si>
    <t>South</t>
  </si>
  <si>
    <t>Oranges</t>
  </si>
  <si>
    <t>Apples</t>
  </si>
  <si>
    <t>East</t>
  </si>
  <si>
    <t>North</t>
  </si>
  <si>
    <t>Row Labels</t>
  </si>
  <si>
    <t>Grand Total</t>
  </si>
  <si>
    <t>Sum of Sales</t>
  </si>
  <si>
    <t>Total sales</t>
  </si>
  <si>
    <t>Jan</t>
  </si>
  <si>
    <t>Feb</t>
  </si>
  <si>
    <t>Mar</t>
  </si>
  <si>
    <t>Apr</t>
  </si>
  <si>
    <t>May</t>
  </si>
  <si>
    <t>Jun</t>
  </si>
  <si>
    <t>Average of Sales</t>
  </si>
  <si>
    <t>Fruits(Apples+oranges)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</si>
</sst>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s>
  <cellStyleXfs count="1">
    <xf numFmtId="0" fontId="0" fillId="0" borderId="0"/>
  </cellStyleXfs>
  <cellXfs count="15">
    <xf numFmtId="0" fontId="0" fillId="0" borderId="0" xfId="0"/>
    <xf numFmtId="22" fontId="0" fillId="0" borderId="1" xfId="0" applyNumberFormat="1" applyBorder="1" applyAlignment="1">
      <alignment horizontal="right" wrapText="1"/>
    </xf>
    <xf numFmtId="0" fontId="0" fillId="0" borderId="1" xfId="0" applyBorder="1" applyAlignment="1">
      <alignment wrapText="1"/>
    </xf>
    <xf numFmtId="0" fontId="0" fillId="0" borderId="1" xfId="0" applyBorder="1" applyAlignment="1">
      <alignment horizontal="right"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22" fontId="0" fillId="0" borderId="4" xfId="0" applyNumberFormat="1" applyBorder="1" applyAlignment="1">
      <alignment horizontal="right" wrapText="1"/>
    </xf>
    <xf numFmtId="0" fontId="0" fillId="0" borderId="4" xfId="0" applyBorder="1" applyAlignment="1">
      <alignment wrapText="1"/>
    </xf>
    <xf numFmtId="0" fontId="0" fillId="0" borderId="4" xfId="0"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0" fontId="1" fillId="3" borderId="2" xfId="0" applyFont="1" applyFill="1" applyBorder="1" applyAlignment="1">
      <alignment horizontal="center" vertical="top" wrapText="1"/>
    </xf>
    <xf numFmtId="0" fontId="1" fillId="3" borderId="3" xfId="0" applyFont="1" applyFill="1" applyBorder="1" applyAlignment="1">
      <alignment horizontal="center" vertical="top" wrapText="1"/>
    </xf>
    <xf numFmtId="22" fontId="0" fillId="0" borderId="0" xfId="0" applyNumberFormat="1" applyAlignment="1">
      <alignment horizontal="left"/>
    </xf>
  </cellXfs>
  <cellStyles count="1">
    <cellStyle name="Normal" xfId="0" builtinId="0"/>
  </cellStyles>
  <dxfs count="46">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top style="medium">
          <color rgb="FF000000"/>
        </top>
        <bottom style="medium">
          <color rgb="FFCCCCCC"/>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top style="medium">
          <color rgb="FF000000"/>
        </top>
        <bottom style="medium">
          <color rgb="FFCCCCCC"/>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top style="medium">
          <color rgb="FF000000"/>
        </top>
        <bottom style="medium">
          <color rgb="FFCCCCCC"/>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patternFill>
      </fill>
      <alignment horizontal="center" vertical="top" textRotation="0" wrapText="1" indent="0" justifyLastLine="0" shrinkToFit="0" readingOrder="0"/>
    </dxf>
    <dxf>
      <font>
        <color rgb="FF006100"/>
      </font>
      <fill>
        <patternFill>
          <bgColor rgb="FFC6EFCE"/>
        </patternFill>
      </fill>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top style="medium">
          <color rgb="FF000000"/>
        </top>
        <bottom style="medium">
          <color rgb="FFCCCCCC"/>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top style="medium">
          <color rgb="FF000000"/>
        </top>
        <bottom style="medium">
          <color rgb="FFCCCCCC"/>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Chart.xlsx]Monthly sales trend!PivotTable2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'Monthly sales trend'!$C$4</c:f>
              <c:strCache>
                <c:ptCount val="1"/>
                <c:pt idx="0">
                  <c:v>Total</c:v>
                </c:pt>
              </c:strCache>
            </c:strRef>
          </c:tx>
          <c:spPr>
            <a:ln w="28575" cap="rnd">
              <a:solidFill>
                <a:schemeClr val="accent1"/>
              </a:solidFill>
              <a:round/>
            </a:ln>
            <a:effectLst/>
          </c:spPr>
          <c:marker>
            <c:symbol val="none"/>
          </c:marker>
          <c:cat>
            <c:strRef>
              <c:f>'Monthly sales trend'!$B$5:$B$11</c:f>
              <c:strCache>
                <c:ptCount val="6"/>
                <c:pt idx="0">
                  <c:v>Jan</c:v>
                </c:pt>
                <c:pt idx="1">
                  <c:v>Feb</c:v>
                </c:pt>
                <c:pt idx="2">
                  <c:v>Mar</c:v>
                </c:pt>
                <c:pt idx="3">
                  <c:v>Apr</c:v>
                </c:pt>
                <c:pt idx="4">
                  <c:v>May</c:v>
                </c:pt>
                <c:pt idx="5">
                  <c:v>Jun</c:v>
                </c:pt>
              </c:strCache>
            </c:strRef>
          </c:cat>
          <c:val>
            <c:numRef>
              <c:f>'Monthly sales trend'!$C$5:$C$11</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9C19-4CD6-91C5-570813991F61}"/>
            </c:ext>
          </c:extLst>
        </c:ser>
        <c:dLbls>
          <c:showLegendKey val="0"/>
          <c:showVal val="0"/>
          <c:showCatName val="0"/>
          <c:showSerName val="0"/>
          <c:showPercent val="0"/>
          <c:showBubbleSize val="0"/>
        </c:dLbls>
        <c:smooth val="0"/>
        <c:axId val="221056864"/>
        <c:axId val="393392448"/>
      </c:lineChart>
      <c:catAx>
        <c:axId val="22105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92448"/>
        <c:crosses val="autoZero"/>
        <c:auto val="1"/>
        <c:lblAlgn val="ctr"/>
        <c:lblOffset val="100"/>
        <c:noMultiLvlLbl val="0"/>
      </c:catAx>
      <c:valAx>
        <c:axId val="39339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5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Chart.xlsx]Dashboard!PivotTable3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Dashboard!$B$4</c:f>
              <c:strCache>
                <c:ptCount val="1"/>
                <c:pt idx="0">
                  <c:v>Total</c:v>
                </c:pt>
              </c:strCache>
            </c:strRef>
          </c:tx>
          <c:spPr>
            <a:solidFill>
              <a:schemeClr val="accent1"/>
            </a:solidFill>
            <a:ln>
              <a:noFill/>
            </a:ln>
            <a:effectLst/>
          </c:spPr>
          <c:invertIfNegative val="0"/>
          <c:cat>
            <c:strRef>
              <c:f>Dashboard!$A$5:$A$9</c:f>
              <c:strCache>
                <c:ptCount val="4"/>
                <c:pt idx="0">
                  <c:v>East</c:v>
                </c:pt>
                <c:pt idx="1">
                  <c:v>North</c:v>
                </c:pt>
                <c:pt idx="2">
                  <c:v>South</c:v>
                </c:pt>
                <c:pt idx="3">
                  <c:v>West</c:v>
                </c:pt>
              </c:strCache>
            </c:strRef>
          </c:cat>
          <c:val>
            <c:numRef>
              <c:f>Dashboard!$B$5:$B$9</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FE7C-4E32-B13A-030BD22ADE3D}"/>
            </c:ext>
          </c:extLst>
        </c:ser>
        <c:dLbls>
          <c:showLegendKey val="0"/>
          <c:showVal val="0"/>
          <c:showCatName val="0"/>
          <c:showSerName val="0"/>
          <c:showPercent val="0"/>
          <c:showBubbleSize val="0"/>
        </c:dLbls>
        <c:gapWidth val="219"/>
        <c:overlap val="-27"/>
        <c:axId val="389062048"/>
        <c:axId val="387682400"/>
      </c:barChart>
      <c:catAx>
        <c:axId val="38906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82400"/>
        <c:crosses val="autoZero"/>
        <c:auto val="1"/>
        <c:lblAlgn val="ctr"/>
        <c:lblOffset val="100"/>
        <c:noMultiLvlLbl val="0"/>
      </c:catAx>
      <c:valAx>
        <c:axId val="38768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6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Chart.xlsx]Monthly sales trend!PivotTable2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'Monthly sales trend'!$C$4</c:f>
              <c:strCache>
                <c:ptCount val="1"/>
                <c:pt idx="0">
                  <c:v>Total</c:v>
                </c:pt>
              </c:strCache>
            </c:strRef>
          </c:tx>
          <c:spPr>
            <a:ln w="28575" cap="rnd">
              <a:solidFill>
                <a:schemeClr val="accent1"/>
              </a:solidFill>
              <a:round/>
            </a:ln>
            <a:effectLst/>
          </c:spPr>
          <c:marker>
            <c:symbol val="none"/>
          </c:marker>
          <c:cat>
            <c:strRef>
              <c:f>'Monthly sales trend'!$B$5:$B$11</c:f>
              <c:strCache>
                <c:ptCount val="6"/>
                <c:pt idx="0">
                  <c:v>Jan</c:v>
                </c:pt>
                <c:pt idx="1">
                  <c:v>Feb</c:v>
                </c:pt>
                <c:pt idx="2">
                  <c:v>Mar</c:v>
                </c:pt>
                <c:pt idx="3">
                  <c:v>Apr</c:v>
                </c:pt>
                <c:pt idx="4">
                  <c:v>May</c:v>
                </c:pt>
                <c:pt idx="5">
                  <c:v>Jun</c:v>
                </c:pt>
              </c:strCache>
            </c:strRef>
          </c:cat>
          <c:val>
            <c:numRef>
              <c:f>'Monthly sales trend'!$C$5:$C$11</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5589-408C-B31C-8323A63364D5}"/>
            </c:ext>
          </c:extLst>
        </c:ser>
        <c:dLbls>
          <c:showLegendKey val="0"/>
          <c:showVal val="0"/>
          <c:showCatName val="0"/>
          <c:showSerName val="0"/>
          <c:showPercent val="0"/>
          <c:showBubbleSize val="0"/>
        </c:dLbls>
        <c:smooth val="0"/>
        <c:axId val="221056864"/>
        <c:axId val="393392448"/>
      </c:lineChart>
      <c:catAx>
        <c:axId val="22105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92448"/>
        <c:crosses val="autoZero"/>
        <c:auto val="1"/>
        <c:lblAlgn val="ctr"/>
        <c:lblOffset val="100"/>
        <c:noMultiLvlLbl val="0"/>
      </c:catAx>
      <c:valAx>
        <c:axId val="39339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5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371475</xdr:colOff>
      <xdr:row>1</xdr:row>
      <xdr:rowOff>120650</xdr:rowOff>
    </xdr:from>
    <xdr:to>
      <xdr:col>10</xdr:col>
      <xdr:colOff>317500</xdr:colOff>
      <xdr:row>15</xdr:row>
      <xdr:rowOff>50800</xdr:rowOff>
    </xdr:to>
    <xdr:graphicFrame macro="">
      <xdr:nvGraphicFramePr>
        <xdr:cNvPr id="2" name="Chart 1">
          <a:extLst>
            <a:ext uri="{FF2B5EF4-FFF2-40B4-BE49-F238E27FC236}">
              <a16:creationId xmlns:a16="http://schemas.microsoft.com/office/drawing/2014/main" id="{E76FCF2C-CB22-4E9D-9B89-35C31B9E3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391532</xdr:colOff>
      <xdr:row>6</xdr:row>
      <xdr:rowOff>70315</xdr:rowOff>
    </xdr:from>
    <xdr:to>
      <xdr:col>12</xdr:col>
      <xdr:colOff>367619</xdr:colOff>
      <xdr:row>11</xdr:row>
      <xdr:rowOff>0</xdr:rowOff>
    </xdr:to>
    <mc:AlternateContent xmlns:mc="http://schemas.openxmlformats.org/markup-compatibility/2006">
      <mc:Choice xmlns:sle15="http://schemas.microsoft.com/office/drawing/2012/slicer" Requires="sle15">
        <xdr:graphicFrame macro="">
          <xdr:nvGraphicFramePr>
            <xdr:cNvPr id="2" name="Product">
              <a:extLst>
                <a:ext uri="{FF2B5EF4-FFF2-40B4-BE49-F238E27FC236}">
                  <a16:creationId xmlns:a16="http://schemas.microsoft.com/office/drawing/2014/main" id="{201EDB9E-D190-4ECB-90B8-725FAB87227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400800" y="1231900"/>
              <a:ext cx="2423160" cy="89767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92075</xdr:colOff>
      <xdr:row>1</xdr:row>
      <xdr:rowOff>120650</xdr:rowOff>
    </xdr:from>
    <xdr:to>
      <xdr:col>9</xdr:col>
      <xdr:colOff>6350</xdr:colOff>
      <xdr:row>15</xdr:row>
      <xdr:rowOff>171450</xdr:rowOff>
    </xdr:to>
    <xdr:graphicFrame macro="">
      <xdr:nvGraphicFramePr>
        <xdr:cNvPr id="2" name="Chart 1">
          <a:extLst>
            <a:ext uri="{FF2B5EF4-FFF2-40B4-BE49-F238E27FC236}">
              <a16:creationId xmlns:a16="http://schemas.microsoft.com/office/drawing/2014/main" id="{A5B5A1FD-C4AE-4452-A905-4BD158EEA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1</xdr:row>
      <xdr:rowOff>127000</xdr:rowOff>
    </xdr:from>
    <xdr:to>
      <xdr:col>15</xdr:col>
      <xdr:colOff>339725</xdr:colOff>
      <xdr:row>15</xdr:row>
      <xdr:rowOff>171450</xdr:rowOff>
    </xdr:to>
    <xdr:graphicFrame macro="">
      <xdr:nvGraphicFramePr>
        <xdr:cNvPr id="3" name="Chart 2">
          <a:extLst>
            <a:ext uri="{FF2B5EF4-FFF2-40B4-BE49-F238E27FC236}">
              <a16:creationId xmlns:a16="http://schemas.microsoft.com/office/drawing/2014/main" id="{0A5D1FD1-5C43-4E05-B80C-0657EE503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304800</xdr:colOff>
      <xdr:row>16</xdr:row>
      <xdr:rowOff>6351</xdr:rowOff>
    </xdr:from>
    <xdr:to>
      <xdr:col>11</xdr:col>
      <xdr:colOff>228600</xdr:colOff>
      <xdr:row>20</xdr:row>
      <xdr:rowOff>171450</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048D67CA-7675-4F91-A4F6-D1671A58597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394200" y="2952751"/>
              <a:ext cx="2971800" cy="901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7.506677314814" createdVersion="6" refreshedVersion="6" minRefreshableVersion="3" recordCount="20" xr:uid="{F3A73517-74BF-43E6-AC3F-A8CB2C9C3FE4}">
  <cacheSource type="worksheet">
    <worksheetSource name="Table1"/>
  </cacheSource>
  <cacheFields count="5">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base="0">
        <rangePr groupBy="months" startDate="2024-01-01T00:00:00" endDate="2024-07-01T00:00:00"/>
        <groupItems count="14">
          <s v="&lt;1/1/2024"/>
          <s v="Jan"/>
          <s v="Feb"/>
          <s v="Mar"/>
          <s v="Apr"/>
          <s v="May"/>
          <s v="Jun"/>
          <s v="Jul"/>
          <s v="Aug"/>
          <s v="Sep"/>
          <s v="Oct"/>
          <s v="Nov"/>
          <s v="Dec"/>
          <s v="&gt;7/1/2024"/>
        </groupItems>
      </fieldGroup>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1882735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BC433D-C2A8-4EF7-A845-AA7DF9CE7402}"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3:B8" firstHeaderRow="1" firstDataRow="1" firstDataCol="1"/>
  <pivotFields count="5">
    <pivotField numFmtId="22" showAll="0">
      <items count="15">
        <item x="0"/>
        <item x="1"/>
        <item x="2"/>
        <item x="3"/>
        <item x="4"/>
        <item x="5"/>
        <item x="6"/>
        <item x="7"/>
        <item x="8"/>
        <item x="9"/>
        <item x="10"/>
        <item x="11"/>
        <item x="12"/>
        <item x="13"/>
        <item t="default"/>
      </items>
    </pivotField>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Total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2922BD-97F7-4976-A82A-48DC7A13351E}"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B4:C11" firstHeaderRow="1" firstDataRow="1" firstDataCol="1"/>
  <pivotFields count="5">
    <pivotField axis="axisRow" numFmtId="22" showAll="0">
      <items count="15">
        <item x="0"/>
        <item x="1"/>
        <item x="2"/>
        <item x="3"/>
        <item x="4"/>
        <item x="5"/>
        <item x="6"/>
        <item x="7"/>
        <item x="8"/>
        <item x="9"/>
        <item x="10"/>
        <item x="11"/>
        <item x="12"/>
        <item x="13"/>
        <item t="default"/>
      </items>
    </pivotField>
    <pivotField showAll="0"/>
    <pivotField showAll="0">
      <items count="4">
        <item x="2"/>
        <item x="0"/>
        <item x="1"/>
        <item t="default"/>
      </items>
    </pivotField>
    <pivotField dataField="1" showAll="0"/>
    <pivotField showAll="0"/>
  </pivotFields>
  <rowFields count="1">
    <field x="0"/>
  </rowFields>
  <rowItems count="7">
    <i>
      <x v="1"/>
    </i>
    <i>
      <x v="2"/>
    </i>
    <i>
      <x v="3"/>
    </i>
    <i>
      <x v="4"/>
    </i>
    <i>
      <x v="5"/>
    </i>
    <i>
      <x v="6"/>
    </i>
    <i t="grand">
      <x/>
    </i>
  </rowItems>
  <colItems count="1">
    <i/>
  </colItems>
  <dataFields count="1">
    <dataField name="Sum of Sales" fld="3"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48B849-741E-4AF8-9C35-E820028E55BF}"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4:B9" firstHeaderRow="1" firstDataRow="1" firstDataCol="1"/>
  <pivotFields count="5">
    <pivotField numFmtId="22" showAll="0">
      <items count="15">
        <item x="0"/>
        <item x="1"/>
        <item x="2"/>
        <item x="3"/>
        <item x="4"/>
        <item x="5"/>
        <item x="6"/>
        <item x="7"/>
        <item x="8"/>
        <item x="9"/>
        <item x="10"/>
        <item x="11"/>
        <item x="12"/>
        <item x="13"/>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CFD59C-5DD1-4C03-BBFE-AA13DAEB56F8}"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C11" firstHeaderRow="1" firstDataRow="1" firstDataCol="1"/>
  <pivotFields count="5">
    <pivotField axis="axisRow" numFmtId="22" showAll="0">
      <items count="15">
        <item x="0"/>
        <item x="1"/>
        <item x="2"/>
        <item x="3"/>
        <item x="4"/>
        <item x="5"/>
        <item x="6"/>
        <item x="7"/>
        <item x="8"/>
        <item x="9"/>
        <item x="10"/>
        <item x="11"/>
        <item x="12"/>
        <item x="13"/>
        <item t="default"/>
      </items>
    </pivotField>
    <pivotField showAll="0"/>
    <pivotField showAll="0"/>
    <pivotField dataField="1" showAll="0"/>
    <pivotField showAll="0"/>
  </pivotFields>
  <rowFields count="1">
    <field x="0"/>
  </rowFields>
  <rowItems count="7">
    <i>
      <x v="1"/>
    </i>
    <i>
      <x v="2"/>
    </i>
    <i>
      <x v="3"/>
    </i>
    <i>
      <x v="4"/>
    </i>
    <i>
      <x v="5"/>
    </i>
    <i>
      <x v="6"/>
    </i>
    <i t="grand">
      <x/>
    </i>
  </rowItems>
  <colItems count="1">
    <i/>
  </colItems>
  <dataFields count="1">
    <dataField name="Average of Sales" fld="3"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27E00FC6-CECE-44C8-A39F-DDB3233C799F}" sourceName="Product">
  <pivotTables>
    <pivotTable tabId="9" name="PivotTable3"/>
    <pivotTable tabId="7" name="PivotTable2"/>
  </pivotTables>
  <data>
    <tabular pivotCacheId="188273513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7CCDFE6-B9E6-4A14-8950-6CDA4B35452D}" sourceName="Product">
  <extLst>
    <x:ext xmlns:x15="http://schemas.microsoft.com/office/spreadsheetml/2010/11/main" uri="{2F2917AC-EB37-4324-AD4E-5DD8C200BD13}">
      <x15:tableSlicerCache tableId="5"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10EBA12-4BA9-4FFF-8ED2-E2C0B83FF330}" cache="Slicer_Product" caption="Product" columnCount="3" style="SlicerStyleLight4"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13F8B26-587C-4453-8A63-4AD2A38069EE}" cache="Slicer_Product1" caption="Product" columnCount="3" style="SlicerStyleLight4"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F524DE-5CF2-485A-8A54-06FF9CCE9A0B}" name="Table1" displayName="Table1" ref="A1:E21" totalsRowShown="0" headerRowDxfId="37" headerRowBorderDxfId="44" tableBorderDxfId="45" totalsRowBorderDxfId="43">
  <tableColumns count="5">
    <tableColumn id="1" xr3:uid="{02554B44-8903-4FF3-9AFF-B31580EC00B1}" name="Date" dataDxfId="42"/>
    <tableColumn id="2" xr3:uid="{F6099018-DF45-4D5E-B16C-4AA15037B1B0}" name="Region" dataDxfId="41"/>
    <tableColumn id="3" xr3:uid="{5B1DE851-6228-49DB-BA35-63B3A28AD748}" name="Product" dataDxfId="40"/>
    <tableColumn id="4" xr3:uid="{29C99D95-A6A0-44DD-AE42-6E32561E4E78}" name="Sales" dataDxfId="39"/>
    <tableColumn id="5" xr3:uid="{020CB5FB-BC86-42CF-9827-5CE99889E48C}" name="Quantity" data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E3E9A7-1DC1-43D3-BC60-E50C0F9FE8D2}" name="Table13" displayName="Table13" ref="A1:E21" totalsRowShown="0" headerRowDxfId="27" headerRowBorderDxfId="35" tableBorderDxfId="36" totalsRowBorderDxfId="34">
  <autoFilter ref="A1:E21" xr:uid="{DF32DF1D-E1FA-4C77-BF25-D1DF6ABFDE73}"/>
  <tableColumns count="5">
    <tableColumn id="1" xr3:uid="{7567D948-CF8C-409E-B5D2-9A1E689D5A11}" name="Date" dataDxfId="33"/>
    <tableColumn id="2" xr3:uid="{95D2A049-54ED-4DA8-92D2-56001EB446A7}" name="Region" dataDxfId="32"/>
    <tableColumn id="3" xr3:uid="{54DD6893-7DC2-4472-A19A-E894BC4F23B3}" name="Product" dataDxfId="31"/>
    <tableColumn id="4" xr3:uid="{189FE5BC-8888-4BDF-BBD1-14244675F7A8}" name="Sales" dataDxfId="30"/>
    <tableColumn id="5" xr3:uid="{A61CF82F-47C8-4BF4-B78D-B8AD05A59E6D}" name="Quantity"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868B29-265B-4BAD-BDCB-113A2D238412}" name="Table14" displayName="Table14" ref="A1:E21" totalsRowShown="0" headerRowDxfId="26" headerRowBorderDxfId="24" tableBorderDxfId="25" totalsRowBorderDxfId="23">
  <autoFilter ref="A1:E21" xr:uid="{ABD35A8D-8EBC-4720-BAAA-C9A3BBB223AD}"/>
  <sortState ref="A2:E21">
    <sortCondition descending="1" ref="D1:D21"/>
  </sortState>
  <tableColumns count="5">
    <tableColumn id="1" xr3:uid="{B044AE1C-EE80-41F0-8ADD-A710D5E2DC7C}" name="Date" dataDxfId="22"/>
    <tableColumn id="2" xr3:uid="{019D6647-97F8-4498-9915-05E51699DDB8}" name="Region" dataDxfId="21"/>
    <tableColumn id="3" xr3:uid="{62B3DDEE-EA42-41E8-8771-CA0C141ED1CF}" name="Product" dataDxfId="20"/>
    <tableColumn id="4" xr3:uid="{047E7661-4CF7-4D05-BC1A-D3A6954EB14A}" name="Sales" dataDxfId="19"/>
    <tableColumn id="5" xr3:uid="{3F3AFBDC-49D3-4312-BA05-2C1434BBBC8C}" name="Quantity"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35255A-2F1B-44BC-BC4B-F417DB9E820C}" name="Table15" displayName="Table15" ref="A1:E21" totalsRowShown="0" headerRowDxfId="17" headerRowBorderDxfId="15" tableBorderDxfId="16" totalsRowBorderDxfId="14">
  <autoFilter ref="A1:E21" xr:uid="{0C491F05-FE5F-4403-81AA-31E2BB63A82D}">
    <filterColumn colId="3">
      <top10 val="10" filterVal="380"/>
    </filterColumn>
  </autoFilter>
  <tableColumns count="5">
    <tableColumn id="1" xr3:uid="{65C24F3E-99F2-4DDA-91DD-3949778A295B}" name="Date" dataDxfId="13"/>
    <tableColumn id="2" xr3:uid="{C00388A2-653C-46B5-8A6A-208D2146BA45}" name="Region" dataDxfId="12"/>
    <tableColumn id="3" xr3:uid="{21A60855-F724-4963-BD1C-2650ADAC7284}" name="Product" dataDxfId="11"/>
    <tableColumn id="4" xr3:uid="{3FCF67F5-B5E9-44E7-BF94-EDB9E47AE890}" name="Sales" dataDxfId="10"/>
    <tableColumn id="5" xr3:uid="{F722B089-DC78-4136-ABE7-D322D9CF23FE}" name="Quantity" dataDxfId="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ADF518-648B-4E61-B38F-9ABCFF714421}" name="Table16" displayName="Table16" ref="A1:E21" totalsRowShown="0" headerRowDxfId="8" headerRowBorderDxfId="6" tableBorderDxfId="7" totalsRowBorderDxfId="5">
  <autoFilter ref="A1:E21" xr:uid="{6981606C-0697-4947-B3DF-76CFD1E47F5E}"/>
  <tableColumns count="5">
    <tableColumn id="1" xr3:uid="{2C53B02E-8B18-44FD-8F16-922999534FFF}" name="Date" dataDxfId="4"/>
    <tableColumn id="2" xr3:uid="{184FF47B-CCA7-4810-A8D8-90EF18A68784}" name="Region" dataDxfId="3"/>
    <tableColumn id="3" xr3:uid="{C2A30C80-E399-49D9-A4D0-93B052D3B434}" name="Product" dataDxfId="2"/>
    <tableColumn id="4" xr3:uid="{EBF07C34-0AE9-4106-A844-B876C2885C3B}" name="Sales" dataDxfId="1"/>
    <tableColumn id="5" xr3:uid="{72E27CEE-8BC0-4E06-9E1C-74BF9B2B8C29}" name="Quant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4ED0-B2DB-4896-BD0C-C96C252BA67A}">
  <dimension ref="A1:E21"/>
  <sheetViews>
    <sheetView tabSelected="1" zoomScale="90" zoomScaleNormal="90" workbookViewId="0">
      <selection activeCell="B23" sqref="B23"/>
    </sheetView>
  </sheetViews>
  <sheetFormatPr defaultRowHeight="14.5" x14ac:dyDescent="0.35"/>
  <cols>
    <col min="1" max="1" width="14.7265625" bestFit="1" customWidth="1"/>
    <col min="2" max="2" width="11.7265625" bestFit="1" customWidth="1"/>
    <col min="3" max="3" width="12.6328125" bestFit="1" customWidth="1"/>
    <col min="4" max="4" width="10.1796875" bestFit="1" customWidth="1"/>
    <col min="5" max="5" width="13.453125" bestFit="1" customWidth="1"/>
  </cols>
  <sheetData>
    <row r="1" spans="1:5" ht="15" thickBot="1" x14ac:dyDescent="0.4">
      <c r="A1" s="4" t="s">
        <v>0</v>
      </c>
      <c r="B1" s="5" t="s">
        <v>1</v>
      </c>
      <c r="C1" s="5" t="s">
        <v>2</v>
      </c>
      <c r="D1" s="5" t="s">
        <v>3</v>
      </c>
      <c r="E1" s="5" t="s">
        <v>4</v>
      </c>
    </row>
    <row r="2" spans="1:5" ht="15" thickBot="1" x14ac:dyDescent="0.4">
      <c r="A2" s="1">
        <v>45292</v>
      </c>
      <c r="B2" s="2" t="s">
        <v>5</v>
      </c>
      <c r="C2" s="2" t="s">
        <v>6</v>
      </c>
      <c r="D2" s="3">
        <v>456</v>
      </c>
      <c r="E2" s="3">
        <v>93</v>
      </c>
    </row>
    <row r="3" spans="1:5" ht="15" thickBot="1" x14ac:dyDescent="0.4">
      <c r="A3" s="1">
        <v>45301.526319444441</v>
      </c>
      <c r="B3" s="2" t="s">
        <v>7</v>
      </c>
      <c r="C3" s="2" t="s">
        <v>8</v>
      </c>
      <c r="D3" s="3">
        <v>348</v>
      </c>
      <c r="E3" s="3">
        <v>56</v>
      </c>
    </row>
    <row r="4" spans="1:5" ht="15" thickBot="1" x14ac:dyDescent="0.4">
      <c r="A4" s="1">
        <v>45311.052627314813</v>
      </c>
      <c r="B4" s="2" t="s">
        <v>7</v>
      </c>
      <c r="C4" s="2" t="s">
        <v>6</v>
      </c>
      <c r="D4" s="3">
        <v>247</v>
      </c>
      <c r="E4" s="3">
        <v>76</v>
      </c>
    </row>
    <row r="5" spans="1:5" ht="15" thickBot="1" x14ac:dyDescent="0.4">
      <c r="A5" s="1">
        <v>45320.578946759262</v>
      </c>
      <c r="B5" s="2" t="s">
        <v>5</v>
      </c>
      <c r="C5" s="2" t="s">
        <v>9</v>
      </c>
      <c r="D5" s="3">
        <v>230</v>
      </c>
      <c r="E5" s="3">
        <v>37</v>
      </c>
    </row>
    <row r="6" spans="1:5" ht="15" thickBot="1" x14ac:dyDescent="0.4">
      <c r="A6" s="1">
        <v>45330.105266203704</v>
      </c>
      <c r="B6" s="2" t="s">
        <v>5</v>
      </c>
      <c r="C6" s="2" t="s">
        <v>6</v>
      </c>
      <c r="D6" s="3">
        <v>281</v>
      </c>
      <c r="E6" s="3">
        <v>50</v>
      </c>
    </row>
    <row r="7" spans="1:5" ht="15" thickBot="1" x14ac:dyDescent="0.4">
      <c r="A7" s="1">
        <v>45339.631574074076</v>
      </c>
      <c r="B7" s="2" t="s">
        <v>5</v>
      </c>
      <c r="C7" s="2" t="s">
        <v>8</v>
      </c>
      <c r="D7" s="3">
        <v>334</v>
      </c>
      <c r="E7" s="3">
        <v>52</v>
      </c>
    </row>
    <row r="8" spans="1:5" ht="15" thickBot="1" x14ac:dyDescent="0.4">
      <c r="A8" s="1">
        <v>45349.157893518517</v>
      </c>
      <c r="B8" s="2" t="s">
        <v>7</v>
      </c>
      <c r="C8" s="2" t="s">
        <v>9</v>
      </c>
      <c r="D8" s="3">
        <v>417</v>
      </c>
      <c r="E8" s="3">
        <v>29</v>
      </c>
    </row>
    <row r="9" spans="1:5" ht="15" thickBot="1" x14ac:dyDescent="0.4">
      <c r="A9" s="1">
        <v>45358.684212962966</v>
      </c>
      <c r="B9" s="2" t="s">
        <v>5</v>
      </c>
      <c r="C9" s="2" t="s">
        <v>9</v>
      </c>
      <c r="D9" s="3">
        <v>441</v>
      </c>
      <c r="E9" s="3">
        <v>44</v>
      </c>
    </row>
    <row r="10" spans="1:5" ht="15" thickBot="1" x14ac:dyDescent="0.4">
      <c r="A10" s="1">
        <v>45368.210520833331</v>
      </c>
      <c r="B10" s="2" t="s">
        <v>7</v>
      </c>
      <c r="C10" s="2" t="s">
        <v>6</v>
      </c>
      <c r="D10" s="3">
        <v>76</v>
      </c>
      <c r="E10" s="3">
        <v>63</v>
      </c>
    </row>
    <row r="11" spans="1:5" ht="15" thickBot="1" x14ac:dyDescent="0.4">
      <c r="A11" s="1">
        <v>45377.736840277779</v>
      </c>
      <c r="B11" s="2" t="s">
        <v>5</v>
      </c>
      <c r="C11" s="2" t="s">
        <v>8</v>
      </c>
      <c r="D11" s="3">
        <v>441</v>
      </c>
      <c r="E11" s="3">
        <v>79</v>
      </c>
    </row>
    <row r="12" spans="1:5" ht="15" thickBot="1" x14ac:dyDescent="0.4">
      <c r="A12" s="1">
        <v>45387.263159722221</v>
      </c>
      <c r="B12" s="2" t="s">
        <v>7</v>
      </c>
      <c r="C12" s="2" t="s">
        <v>6</v>
      </c>
      <c r="D12" s="3">
        <v>205</v>
      </c>
      <c r="E12" s="3">
        <v>23</v>
      </c>
    </row>
    <row r="13" spans="1:5" ht="15" thickBot="1" x14ac:dyDescent="0.4">
      <c r="A13" s="1">
        <v>45396.789479166669</v>
      </c>
      <c r="B13" s="2" t="s">
        <v>5</v>
      </c>
      <c r="C13" s="2" t="s">
        <v>8</v>
      </c>
      <c r="D13" s="3">
        <v>483</v>
      </c>
      <c r="E13" s="3">
        <v>97</v>
      </c>
    </row>
    <row r="14" spans="1:5" ht="15" thickBot="1" x14ac:dyDescent="0.4">
      <c r="A14" s="1">
        <v>45406.315787037034</v>
      </c>
      <c r="B14" s="2" t="s">
        <v>10</v>
      </c>
      <c r="C14" s="2" t="s">
        <v>6</v>
      </c>
      <c r="D14" s="3">
        <v>467</v>
      </c>
      <c r="E14" s="3">
        <v>97</v>
      </c>
    </row>
    <row r="15" spans="1:5" ht="15" thickBot="1" x14ac:dyDescent="0.4">
      <c r="A15" s="1">
        <v>45415.842106481483</v>
      </c>
      <c r="B15" s="2" t="s">
        <v>5</v>
      </c>
      <c r="C15" s="2" t="s">
        <v>6</v>
      </c>
      <c r="D15" s="3">
        <v>380</v>
      </c>
      <c r="E15" s="3">
        <v>92</v>
      </c>
    </row>
    <row r="16" spans="1:5" ht="15" thickBot="1" x14ac:dyDescent="0.4">
      <c r="A16" s="1">
        <v>45425.368425925924</v>
      </c>
      <c r="B16" s="2" t="s">
        <v>7</v>
      </c>
      <c r="C16" s="2" t="s">
        <v>8</v>
      </c>
      <c r="D16" s="3">
        <v>497</v>
      </c>
      <c r="E16" s="3">
        <v>71</v>
      </c>
    </row>
    <row r="17" spans="1:5" ht="15" thickBot="1" x14ac:dyDescent="0.4">
      <c r="A17" s="1">
        <v>45434.894733796296</v>
      </c>
      <c r="B17" s="2" t="s">
        <v>7</v>
      </c>
      <c r="C17" s="2" t="s">
        <v>6</v>
      </c>
      <c r="D17" s="3">
        <v>409</v>
      </c>
      <c r="E17" s="3">
        <v>81</v>
      </c>
    </row>
    <row r="18" spans="1:5" ht="15" thickBot="1" x14ac:dyDescent="0.4">
      <c r="A18" s="1">
        <v>45444.421053240738</v>
      </c>
      <c r="B18" s="2" t="s">
        <v>5</v>
      </c>
      <c r="C18" s="2" t="s">
        <v>8</v>
      </c>
      <c r="D18" s="3">
        <v>53</v>
      </c>
      <c r="E18" s="3">
        <v>45</v>
      </c>
    </row>
    <row r="19" spans="1:5" ht="15" thickBot="1" x14ac:dyDescent="0.4">
      <c r="A19" s="1">
        <v>45453.947372685187</v>
      </c>
      <c r="B19" s="2" t="s">
        <v>5</v>
      </c>
      <c r="C19" s="2" t="s">
        <v>9</v>
      </c>
      <c r="D19" s="3">
        <v>398</v>
      </c>
      <c r="E19" s="3">
        <v>33</v>
      </c>
    </row>
    <row r="20" spans="1:5" ht="15" thickBot="1" x14ac:dyDescent="0.4">
      <c r="A20" s="1">
        <v>45463.473680555559</v>
      </c>
      <c r="B20" s="2" t="s">
        <v>11</v>
      </c>
      <c r="C20" s="2" t="s">
        <v>8</v>
      </c>
      <c r="D20" s="3">
        <v>347</v>
      </c>
      <c r="E20" s="3">
        <v>35</v>
      </c>
    </row>
    <row r="21" spans="1:5" x14ac:dyDescent="0.35">
      <c r="A21" s="6">
        <v>45473</v>
      </c>
      <c r="B21" s="7" t="s">
        <v>7</v>
      </c>
      <c r="C21" s="7" t="s">
        <v>9</v>
      </c>
      <c r="D21" s="8">
        <v>319</v>
      </c>
      <c r="E21" s="8">
        <v>45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5FF79-1AF6-454E-925C-2465A083D67E}">
  <dimension ref="A3:B8"/>
  <sheetViews>
    <sheetView workbookViewId="0">
      <selection activeCell="A6" sqref="A6"/>
    </sheetView>
  </sheetViews>
  <sheetFormatPr defaultRowHeight="14.5" x14ac:dyDescent="0.35"/>
  <cols>
    <col min="1" max="1" width="10.7265625" bestFit="1" customWidth="1"/>
    <col min="2" max="2" width="9.6328125" bestFit="1" customWidth="1"/>
  </cols>
  <sheetData>
    <row r="3" spans="1:2" x14ac:dyDescent="0.35">
      <c r="A3" s="9" t="s">
        <v>1</v>
      </c>
      <c r="B3" t="s">
        <v>15</v>
      </c>
    </row>
    <row r="4" spans="1:2" x14ac:dyDescent="0.35">
      <c r="A4" s="10" t="s">
        <v>10</v>
      </c>
      <c r="B4" s="11">
        <v>467</v>
      </c>
    </row>
    <row r="5" spans="1:2" x14ac:dyDescent="0.35">
      <c r="A5" s="10" t="s">
        <v>11</v>
      </c>
      <c r="B5" s="11">
        <v>347</v>
      </c>
    </row>
    <row r="6" spans="1:2" x14ac:dyDescent="0.35">
      <c r="A6" s="10" t="s">
        <v>7</v>
      </c>
      <c r="B6" s="11">
        <v>2518</v>
      </c>
    </row>
    <row r="7" spans="1:2" x14ac:dyDescent="0.35">
      <c r="A7" s="10" t="s">
        <v>5</v>
      </c>
      <c r="B7" s="11">
        <v>3497</v>
      </c>
    </row>
    <row r="8" spans="1:2" x14ac:dyDescent="0.35">
      <c r="A8" s="10" t="s">
        <v>13</v>
      </c>
      <c r="B8" s="11">
        <v>6829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90C2-C383-4B89-98D1-32E134273A07}">
  <dimension ref="A1:E21"/>
  <sheetViews>
    <sheetView zoomScale="86" zoomScaleNormal="86" workbookViewId="0">
      <selection activeCell="H10" sqref="H10"/>
    </sheetView>
  </sheetViews>
  <sheetFormatPr defaultRowHeight="14.5" x14ac:dyDescent="0.35"/>
  <cols>
    <col min="1" max="1" width="15.08984375" bestFit="1" customWidth="1"/>
    <col min="2" max="2" width="11" bestFit="1" customWidth="1"/>
    <col min="3" max="3" width="12.81640625" bestFit="1" customWidth="1"/>
    <col min="4" max="4" width="10.54296875" bestFit="1" customWidth="1"/>
    <col min="5" max="5" width="13.6328125" bestFit="1" customWidth="1"/>
  </cols>
  <sheetData>
    <row r="1" spans="1:5" ht="15" thickBot="1" x14ac:dyDescent="0.4">
      <c r="A1" s="12" t="s">
        <v>0</v>
      </c>
      <c r="B1" s="13" t="s">
        <v>1</v>
      </c>
      <c r="C1" s="13" t="s">
        <v>2</v>
      </c>
      <c r="D1" s="13" t="s">
        <v>3</v>
      </c>
      <c r="E1" s="13" t="s">
        <v>4</v>
      </c>
    </row>
    <row r="2" spans="1:5" ht="15" thickBot="1" x14ac:dyDescent="0.4">
      <c r="A2" s="1">
        <v>45292</v>
      </c>
      <c r="B2" s="2" t="s">
        <v>5</v>
      </c>
      <c r="C2" s="2" t="s">
        <v>6</v>
      </c>
      <c r="D2" s="3">
        <v>456</v>
      </c>
      <c r="E2" s="3">
        <v>93</v>
      </c>
    </row>
    <row r="3" spans="1:5" ht="15" thickBot="1" x14ac:dyDescent="0.4">
      <c r="A3" s="1">
        <v>45301.526319444441</v>
      </c>
      <c r="B3" s="2" t="s">
        <v>7</v>
      </c>
      <c r="C3" s="2" t="s">
        <v>8</v>
      </c>
      <c r="D3" s="3">
        <v>348</v>
      </c>
      <c r="E3" s="3">
        <v>56</v>
      </c>
    </row>
    <row r="4" spans="1:5" ht="15" thickBot="1" x14ac:dyDescent="0.4">
      <c r="A4" s="1">
        <v>45311.052627314813</v>
      </c>
      <c r="B4" s="2" t="s">
        <v>7</v>
      </c>
      <c r="C4" s="2" t="s">
        <v>6</v>
      </c>
      <c r="D4" s="3">
        <v>247</v>
      </c>
      <c r="E4" s="3">
        <v>76</v>
      </c>
    </row>
    <row r="5" spans="1:5" ht="15" thickBot="1" x14ac:dyDescent="0.4">
      <c r="A5" s="1">
        <v>45320.578946759262</v>
      </c>
      <c r="B5" s="2" t="s">
        <v>5</v>
      </c>
      <c r="C5" s="2" t="s">
        <v>9</v>
      </c>
      <c r="D5" s="3">
        <v>230</v>
      </c>
      <c r="E5" s="3">
        <v>37</v>
      </c>
    </row>
    <row r="6" spans="1:5" ht="15" thickBot="1" x14ac:dyDescent="0.4">
      <c r="A6" s="1">
        <v>45330.105266203704</v>
      </c>
      <c r="B6" s="2" t="s">
        <v>5</v>
      </c>
      <c r="C6" s="2" t="s">
        <v>6</v>
      </c>
      <c r="D6" s="3">
        <v>281</v>
      </c>
      <c r="E6" s="3">
        <v>50</v>
      </c>
    </row>
    <row r="7" spans="1:5" ht="15" thickBot="1" x14ac:dyDescent="0.4">
      <c r="A7" s="1">
        <v>45339.631574074076</v>
      </c>
      <c r="B7" s="2" t="s">
        <v>5</v>
      </c>
      <c r="C7" s="2" t="s">
        <v>8</v>
      </c>
      <c r="D7" s="3">
        <v>334</v>
      </c>
      <c r="E7" s="3">
        <v>52</v>
      </c>
    </row>
    <row r="8" spans="1:5" ht="15" thickBot="1" x14ac:dyDescent="0.4">
      <c r="A8" s="1">
        <v>45349.157893518517</v>
      </c>
      <c r="B8" s="2" t="s">
        <v>7</v>
      </c>
      <c r="C8" s="2" t="s">
        <v>9</v>
      </c>
      <c r="D8" s="3">
        <v>417</v>
      </c>
      <c r="E8" s="3">
        <v>29</v>
      </c>
    </row>
    <row r="9" spans="1:5" ht="15" thickBot="1" x14ac:dyDescent="0.4">
      <c r="A9" s="1">
        <v>45358.684212962966</v>
      </c>
      <c r="B9" s="2" t="s">
        <v>5</v>
      </c>
      <c r="C9" s="2" t="s">
        <v>9</v>
      </c>
      <c r="D9" s="3">
        <v>441</v>
      </c>
      <c r="E9" s="3">
        <v>44</v>
      </c>
    </row>
    <row r="10" spans="1:5" ht="15" thickBot="1" x14ac:dyDescent="0.4">
      <c r="A10" s="1">
        <v>45368.210520833331</v>
      </c>
      <c r="B10" s="2" t="s">
        <v>7</v>
      </c>
      <c r="C10" s="2" t="s">
        <v>6</v>
      </c>
      <c r="D10" s="3">
        <v>76</v>
      </c>
      <c r="E10" s="3">
        <v>63</v>
      </c>
    </row>
    <row r="11" spans="1:5" ht="15" thickBot="1" x14ac:dyDescent="0.4">
      <c r="A11" s="1">
        <v>45377.736840277779</v>
      </c>
      <c r="B11" s="2" t="s">
        <v>5</v>
      </c>
      <c r="C11" s="2" t="s">
        <v>8</v>
      </c>
      <c r="D11" s="3">
        <v>441</v>
      </c>
      <c r="E11" s="3">
        <v>79</v>
      </c>
    </row>
    <row r="12" spans="1:5" ht="15" thickBot="1" x14ac:dyDescent="0.4">
      <c r="A12" s="1">
        <v>45387.263159722221</v>
      </c>
      <c r="B12" s="2" t="s">
        <v>7</v>
      </c>
      <c r="C12" s="2" t="s">
        <v>6</v>
      </c>
      <c r="D12" s="3">
        <v>205</v>
      </c>
      <c r="E12" s="3">
        <v>23</v>
      </c>
    </row>
    <row r="13" spans="1:5" ht="15" thickBot="1" x14ac:dyDescent="0.4">
      <c r="A13" s="1">
        <v>45396.789479166669</v>
      </c>
      <c r="B13" s="2" t="s">
        <v>5</v>
      </c>
      <c r="C13" s="2" t="s">
        <v>8</v>
      </c>
      <c r="D13" s="3">
        <v>483</v>
      </c>
      <c r="E13" s="3">
        <v>97</v>
      </c>
    </row>
    <row r="14" spans="1:5" ht="15" thickBot="1" x14ac:dyDescent="0.4">
      <c r="A14" s="1">
        <v>45406.315787037034</v>
      </c>
      <c r="B14" s="2" t="s">
        <v>10</v>
      </c>
      <c r="C14" s="2" t="s">
        <v>6</v>
      </c>
      <c r="D14" s="3">
        <v>467</v>
      </c>
      <c r="E14" s="3">
        <v>97</v>
      </c>
    </row>
    <row r="15" spans="1:5" ht="15" thickBot="1" x14ac:dyDescent="0.4">
      <c r="A15" s="1">
        <v>45415.842106481483</v>
      </c>
      <c r="B15" s="2" t="s">
        <v>5</v>
      </c>
      <c r="C15" s="2" t="s">
        <v>6</v>
      </c>
      <c r="D15" s="3">
        <v>380</v>
      </c>
      <c r="E15" s="3">
        <v>92</v>
      </c>
    </row>
    <row r="16" spans="1:5" ht="15" thickBot="1" x14ac:dyDescent="0.4">
      <c r="A16" s="1">
        <v>45425.368425925924</v>
      </c>
      <c r="B16" s="2" t="s">
        <v>7</v>
      </c>
      <c r="C16" s="2" t="s">
        <v>8</v>
      </c>
      <c r="D16" s="3">
        <v>497</v>
      </c>
      <c r="E16" s="3">
        <v>71</v>
      </c>
    </row>
    <row r="17" spans="1:5" ht="15" thickBot="1" x14ac:dyDescent="0.4">
      <c r="A17" s="1">
        <v>45434.894733796296</v>
      </c>
      <c r="B17" s="2" t="s">
        <v>7</v>
      </c>
      <c r="C17" s="2" t="s">
        <v>6</v>
      </c>
      <c r="D17" s="3">
        <v>409</v>
      </c>
      <c r="E17" s="3">
        <v>81</v>
      </c>
    </row>
    <row r="18" spans="1:5" ht="15" thickBot="1" x14ac:dyDescent="0.4">
      <c r="A18" s="1">
        <v>45444.421053240738</v>
      </c>
      <c r="B18" s="2" t="s">
        <v>5</v>
      </c>
      <c r="C18" s="2" t="s">
        <v>8</v>
      </c>
      <c r="D18" s="3">
        <v>53</v>
      </c>
      <c r="E18" s="3">
        <v>45</v>
      </c>
    </row>
    <row r="19" spans="1:5" ht="15" thickBot="1" x14ac:dyDescent="0.4">
      <c r="A19" s="1">
        <v>45453.947372685187</v>
      </c>
      <c r="B19" s="2" t="s">
        <v>5</v>
      </c>
      <c r="C19" s="2" t="s">
        <v>9</v>
      </c>
      <c r="D19" s="3">
        <v>398</v>
      </c>
      <c r="E19" s="3">
        <v>33</v>
      </c>
    </row>
    <row r="20" spans="1:5" ht="15" thickBot="1" x14ac:dyDescent="0.4">
      <c r="A20" s="1">
        <v>45463.473680555559</v>
      </c>
      <c r="B20" s="2" t="s">
        <v>11</v>
      </c>
      <c r="C20" s="2" t="s">
        <v>8</v>
      </c>
      <c r="D20" s="3">
        <v>347</v>
      </c>
      <c r="E20" s="3">
        <v>35</v>
      </c>
    </row>
    <row r="21" spans="1:5" x14ac:dyDescent="0.35">
      <c r="A21" s="6">
        <v>45473</v>
      </c>
      <c r="B21" s="7" t="s">
        <v>7</v>
      </c>
      <c r="C21" s="7" t="s">
        <v>9</v>
      </c>
      <c r="D21" s="8">
        <v>319</v>
      </c>
      <c r="E21" s="8">
        <v>45</v>
      </c>
    </row>
  </sheetData>
  <conditionalFormatting sqref="D2:D1048576">
    <cfRule type="cellIs" dxfId="28" priority="1" operator="greaterThan">
      <formula>400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B0039-6677-45B2-84D2-062E65E74240}">
  <dimension ref="A1:E21"/>
  <sheetViews>
    <sheetView zoomScale="89" zoomScaleNormal="89" workbookViewId="0">
      <selection activeCell="H11" sqref="H11"/>
    </sheetView>
  </sheetViews>
  <sheetFormatPr defaultRowHeight="14.5" x14ac:dyDescent="0.35"/>
  <cols>
    <col min="1" max="1" width="14.90625" bestFit="1" customWidth="1"/>
    <col min="2" max="2" width="11.81640625" bestFit="1" customWidth="1"/>
    <col min="3" max="3" width="12.7265625" bestFit="1" customWidth="1"/>
    <col min="4" max="4" width="10.26953125" bestFit="1" customWidth="1"/>
    <col min="5" max="5" width="13.54296875" bestFit="1" customWidth="1"/>
  </cols>
  <sheetData>
    <row r="1" spans="1:5" ht="15" thickBot="1" x14ac:dyDescent="0.4">
      <c r="A1" s="4" t="s">
        <v>0</v>
      </c>
      <c r="B1" s="5" t="s">
        <v>1</v>
      </c>
      <c r="C1" s="5" t="s">
        <v>2</v>
      </c>
      <c r="D1" s="5" t="s">
        <v>3</v>
      </c>
      <c r="E1" s="5" t="s">
        <v>4</v>
      </c>
    </row>
    <row r="2" spans="1:5" ht="15" thickBot="1" x14ac:dyDescent="0.4">
      <c r="A2" s="1">
        <v>45425.368425925924</v>
      </c>
      <c r="B2" s="2" t="s">
        <v>7</v>
      </c>
      <c r="C2" s="2" t="s">
        <v>8</v>
      </c>
      <c r="D2" s="3">
        <v>497</v>
      </c>
      <c r="E2" s="3">
        <v>71</v>
      </c>
    </row>
    <row r="3" spans="1:5" ht="15" thickBot="1" x14ac:dyDescent="0.4">
      <c r="A3" s="1">
        <v>45396.789479166669</v>
      </c>
      <c r="B3" s="2" t="s">
        <v>5</v>
      </c>
      <c r="C3" s="2" t="s">
        <v>8</v>
      </c>
      <c r="D3" s="3">
        <v>483</v>
      </c>
      <c r="E3" s="3">
        <v>97</v>
      </c>
    </row>
    <row r="4" spans="1:5" ht="15" thickBot="1" x14ac:dyDescent="0.4">
      <c r="A4" s="1">
        <v>45406.315787037034</v>
      </c>
      <c r="B4" s="2" t="s">
        <v>10</v>
      </c>
      <c r="C4" s="2" t="s">
        <v>6</v>
      </c>
      <c r="D4" s="3">
        <v>467</v>
      </c>
      <c r="E4" s="3">
        <v>97</v>
      </c>
    </row>
    <row r="5" spans="1:5" ht="15" thickBot="1" x14ac:dyDescent="0.4">
      <c r="A5" s="1">
        <v>45292</v>
      </c>
      <c r="B5" s="2" t="s">
        <v>5</v>
      </c>
      <c r="C5" s="2" t="s">
        <v>6</v>
      </c>
      <c r="D5" s="3">
        <v>456</v>
      </c>
      <c r="E5" s="3">
        <v>93</v>
      </c>
    </row>
    <row r="6" spans="1:5" ht="15" thickBot="1" x14ac:dyDescent="0.4">
      <c r="A6" s="1">
        <v>45358.684212962966</v>
      </c>
      <c r="B6" s="2" t="s">
        <v>5</v>
      </c>
      <c r="C6" s="2" t="s">
        <v>9</v>
      </c>
      <c r="D6" s="3">
        <v>441</v>
      </c>
      <c r="E6" s="3">
        <v>44</v>
      </c>
    </row>
    <row r="7" spans="1:5" ht="15" thickBot="1" x14ac:dyDescent="0.4">
      <c r="A7" s="1">
        <v>45377.736840277779</v>
      </c>
      <c r="B7" s="2" t="s">
        <v>5</v>
      </c>
      <c r="C7" s="2" t="s">
        <v>8</v>
      </c>
      <c r="D7" s="3">
        <v>441</v>
      </c>
      <c r="E7" s="3">
        <v>79</v>
      </c>
    </row>
    <row r="8" spans="1:5" ht="15" thickBot="1" x14ac:dyDescent="0.4">
      <c r="A8" s="1">
        <v>45349.157893518517</v>
      </c>
      <c r="B8" s="2" t="s">
        <v>7</v>
      </c>
      <c r="C8" s="2" t="s">
        <v>9</v>
      </c>
      <c r="D8" s="3">
        <v>417</v>
      </c>
      <c r="E8" s="3">
        <v>29</v>
      </c>
    </row>
    <row r="9" spans="1:5" ht="15" thickBot="1" x14ac:dyDescent="0.4">
      <c r="A9" s="1">
        <v>45434.894733796296</v>
      </c>
      <c r="B9" s="2" t="s">
        <v>7</v>
      </c>
      <c r="C9" s="2" t="s">
        <v>6</v>
      </c>
      <c r="D9" s="3">
        <v>409</v>
      </c>
      <c r="E9" s="3">
        <v>81</v>
      </c>
    </row>
    <row r="10" spans="1:5" ht="15" thickBot="1" x14ac:dyDescent="0.4">
      <c r="A10" s="1">
        <v>45453.947372685187</v>
      </c>
      <c r="B10" s="2" t="s">
        <v>5</v>
      </c>
      <c r="C10" s="2" t="s">
        <v>9</v>
      </c>
      <c r="D10" s="3">
        <v>398</v>
      </c>
      <c r="E10" s="3">
        <v>33</v>
      </c>
    </row>
    <row r="11" spans="1:5" ht="15" thickBot="1" x14ac:dyDescent="0.4">
      <c r="A11" s="1">
        <v>45415.842106481483</v>
      </c>
      <c r="B11" s="2" t="s">
        <v>5</v>
      </c>
      <c r="C11" s="2" t="s">
        <v>6</v>
      </c>
      <c r="D11" s="3">
        <v>380</v>
      </c>
      <c r="E11" s="3">
        <v>92</v>
      </c>
    </row>
    <row r="12" spans="1:5" ht="15" thickBot="1" x14ac:dyDescent="0.4">
      <c r="A12" s="1">
        <v>45301.526319444441</v>
      </c>
      <c r="B12" s="2" t="s">
        <v>7</v>
      </c>
      <c r="C12" s="2" t="s">
        <v>8</v>
      </c>
      <c r="D12" s="3">
        <v>348</v>
      </c>
      <c r="E12" s="3">
        <v>56</v>
      </c>
    </row>
    <row r="13" spans="1:5" ht="15" thickBot="1" x14ac:dyDescent="0.4">
      <c r="A13" s="1">
        <v>45463.473680555559</v>
      </c>
      <c r="B13" s="2" t="s">
        <v>11</v>
      </c>
      <c r="C13" s="2" t="s">
        <v>8</v>
      </c>
      <c r="D13" s="3">
        <v>347</v>
      </c>
      <c r="E13" s="3">
        <v>35</v>
      </c>
    </row>
    <row r="14" spans="1:5" ht="15" thickBot="1" x14ac:dyDescent="0.4">
      <c r="A14" s="1">
        <v>45339.631574074076</v>
      </c>
      <c r="B14" s="2" t="s">
        <v>5</v>
      </c>
      <c r="C14" s="2" t="s">
        <v>8</v>
      </c>
      <c r="D14" s="3">
        <v>334</v>
      </c>
      <c r="E14" s="3">
        <v>52</v>
      </c>
    </row>
    <row r="15" spans="1:5" ht="15" thickBot="1" x14ac:dyDescent="0.4">
      <c r="A15" s="1">
        <v>45473</v>
      </c>
      <c r="B15" s="2" t="s">
        <v>7</v>
      </c>
      <c r="C15" s="2" t="s">
        <v>9</v>
      </c>
      <c r="D15" s="3">
        <v>319</v>
      </c>
      <c r="E15" s="3">
        <v>45</v>
      </c>
    </row>
    <row r="16" spans="1:5" ht="15" thickBot="1" x14ac:dyDescent="0.4">
      <c r="A16" s="1">
        <v>45330.105266203704</v>
      </c>
      <c r="B16" s="2" t="s">
        <v>5</v>
      </c>
      <c r="C16" s="2" t="s">
        <v>6</v>
      </c>
      <c r="D16" s="3">
        <v>281</v>
      </c>
      <c r="E16" s="3">
        <v>50</v>
      </c>
    </row>
    <row r="17" spans="1:5" ht="15" thickBot="1" x14ac:dyDescent="0.4">
      <c r="A17" s="1">
        <v>45311.052627314813</v>
      </c>
      <c r="B17" s="2" t="s">
        <v>7</v>
      </c>
      <c r="C17" s="2" t="s">
        <v>6</v>
      </c>
      <c r="D17" s="3">
        <v>247</v>
      </c>
      <c r="E17" s="3">
        <v>76</v>
      </c>
    </row>
    <row r="18" spans="1:5" ht="15" thickBot="1" x14ac:dyDescent="0.4">
      <c r="A18" s="1">
        <v>45320.578946759262</v>
      </c>
      <c r="B18" s="2" t="s">
        <v>5</v>
      </c>
      <c r="C18" s="2" t="s">
        <v>9</v>
      </c>
      <c r="D18" s="3">
        <v>230</v>
      </c>
      <c r="E18" s="3">
        <v>37</v>
      </c>
    </row>
    <row r="19" spans="1:5" ht="15" thickBot="1" x14ac:dyDescent="0.4">
      <c r="A19" s="1">
        <v>45387.263159722221</v>
      </c>
      <c r="B19" s="2" t="s">
        <v>7</v>
      </c>
      <c r="C19" s="2" t="s">
        <v>6</v>
      </c>
      <c r="D19" s="3">
        <v>205</v>
      </c>
      <c r="E19" s="3">
        <v>23</v>
      </c>
    </row>
    <row r="20" spans="1:5" ht="15" thickBot="1" x14ac:dyDescent="0.4">
      <c r="A20" s="1">
        <v>45368.210520833331</v>
      </c>
      <c r="B20" s="2" t="s">
        <v>7</v>
      </c>
      <c r="C20" s="2" t="s">
        <v>6</v>
      </c>
      <c r="D20" s="3">
        <v>76</v>
      </c>
      <c r="E20" s="3">
        <v>63</v>
      </c>
    </row>
    <row r="21" spans="1:5" x14ac:dyDescent="0.35">
      <c r="A21" s="6">
        <v>45444.421053240738</v>
      </c>
      <c r="B21" s="7" t="s">
        <v>5</v>
      </c>
      <c r="C21" s="7" t="s">
        <v>8</v>
      </c>
      <c r="D21" s="8">
        <v>53</v>
      </c>
      <c r="E21" s="8">
        <v>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339F9-EF9B-43E9-8EF5-DE64C275C4EB}">
  <dimension ref="A1:E21"/>
  <sheetViews>
    <sheetView zoomScale="87" zoomScaleNormal="87" workbookViewId="0">
      <selection activeCell="D4" sqref="D4"/>
    </sheetView>
  </sheetViews>
  <sheetFormatPr defaultRowHeight="14.5" x14ac:dyDescent="0.35"/>
  <cols>
    <col min="1" max="1" width="14.90625" bestFit="1" customWidth="1"/>
    <col min="2" max="2" width="11.90625" bestFit="1" customWidth="1"/>
    <col min="3" max="3" width="12.6328125" bestFit="1" customWidth="1"/>
    <col min="4" max="4" width="10.453125" bestFit="1" customWidth="1"/>
    <col min="5" max="5" width="13.453125" bestFit="1" customWidth="1"/>
  </cols>
  <sheetData>
    <row r="1" spans="1:5" ht="15" thickBot="1" x14ac:dyDescent="0.4">
      <c r="A1" s="4" t="s">
        <v>0</v>
      </c>
      <c r="B1" s="5" t="s">
        <v>1</v>
      </c>
      <c r="C1" s="5" t="s">
        <v>2</v>
      </c>
      <c r="D1" s="5" t="s">
        <v>3</v>
      </c>
      <c r="E1" s="5" t="s">
        <v>4</v>
      </c>
    </row>
    <row r="2" spans="1:5" ht="15" thickBot="1" x14ac:dyDescent="0.4">
      <c r="A2" s="1">
        <v>45292</v>
      </c>
      <c r="B2" s="2" t="s">
        <v>5</v>
      </c>
      <c r="C2" s="2" t="s">
        <v>6</v>
      </c>
      <c r="D2" s="3">
        <v>456</v>
      </c>
      <c r="E2" s="3">
        <v>93</v>
      </c>
    </row>
    <row r="3" spans="1:5" ht="15" hidden="1" thickBot="1" x14ac:dyDescent="0.4">
      <c r="A3" s="1">
        <v>45301.526319444441</v>
      </c>
      <c r="B3" s="2" t="s">
        <v>7</v>
      </c>
      <c r="C3" s="2" t="s">
        <v>8</v>
      </c>
      <c r="D3" s="3">
        <v>348</v>
      </c>
      <c r="E3" s="3">
        <v>56</v>
      </c>
    </row>
    <row r="4" spans="1:5" ht="15" hidden="1" thickBot="1" x14ac:dyDescent="0.4">
      <c r="A4" s="1">
        <v>45311.052627314813</v>
      </c>
      <c r="B4" s="2" t="s">
        <v>7</v>
      </c>
      <c r="C4" s="2" t="s">
        <v>6</v>
      </c>
      <c r="D4" s="3">
        <v>247</v>
      </c>
      <c r="E4" s="3">
        <v>76</v>
      </c>
    </row>
    <row r="5" spans="1:5" ht="15" hidden="1" thickBot="1" x14ac:dyDescent="0.4">
      <c r="A5" s="1">
        <v>45320.578946759262</v>
      </c>
      <c r="B5" s="2" t="s">
        <v>5</v>
      </c>
      <c r="C5" s="2" t="s">
        <v>9</v>
      </c>
      <c r="D5" s="3">
        <v>230</v>
      </c>
      <c r="E5" s="3">
        <v>37</v>
      </c>
    </row>
    <row r="6" spans="1:5" ht="15" hidden="1" thickBot="1" x14ac:dyDescent="0.4">
      <c r="A6" s="1">
        <v>45330.105266203704</v>
      </c>
      <c r="B6" s="2" t="s">
        <v>5</v>
      </c>
      <c r="C6" s="2" t="s">
        <v>6</v>
      </c>
      <c r="D6" s="3">
        <v>281</v>
      </c>
      <c r="E6" s="3">
        <v>50</v>
      </c>
    </row>
    <row r="7" spans="1:5" ht="15" hidden="1" thickBot="1" x14ac:dyDescent="0.4">
      <c r="A7" s="1">
        <v>45339.631574074076</v>
      </c>
      <c r="B7" s="2" t="s">
        <v>5</v>
      </c>
      <c r="C7" s="2" t="s">
        <v>8</v>
      </c>
      <c r="D7" s="3">
        <v>334</v>
      </c>
      <c r="E7" s="3">
        <v>52</v>
      </c>
    </row>
    <row r="8" spans="1:5" ht="15" thickBot="1" x14ac:dyDescent="0.4">
      <c r="A8" s="1">
        <v>45349.157893518517</v>
      </c>
      <c r="B8" s="2" t="s">
        <v>7</v>
      </c>
      <c r="C8" s="2" t="s">
        <v>9</v>
      </c>
      <c r="D8" s="3">
        <v>417</v>
      </c>
      <c r="E8" s="3">
        <v>29</v>
      </c>
    </row>
    <row r="9" spans="1:5" ht="15" thickBot="1" x14ac:dyDescent="0.4">
      <c r="A9" s="1">
        <v>45358.684212962966</v>
      </c>
      <c r="B9" s="2" t="s">
        <v>5</v>
      </c>
      <c r="C9" s="2" t="s">
        <v>9</v>
      </c>
      <c r="D9" s="3">
        <v>441</v>
      </c>
      <c r="E9" s="3">
        <v>44</v>
      </c>
    </row>
    <row r="10" spans="1:5" ht="15" hidden="1" thickBot="1" x14ac:dyDescent="0.4">
      <c r="A10" s="1">
        <v>45368.210520833331</v>
      </c>
      <c r="B10" s="2" t="s">
        <v>7</v>
      </c>
      <c r="C10" s="2" t="s">
        <v>6</v>
      </c>
      <c r="D10" s="3">
        <v>76</v>
      </c>
      <c r="E10" s="3">
        <v>63</v>
      </c>
    </row>
    <row r="11" spans="1:5" ht="15" thickBot="1" x14ac:dyDescent="0.4">
      <c r="A11" s="1">
        <v>45377.736840277779</v>
      </c>
      <c r="B11" s="2" t="s">
        <v>5</v>
      </c>
      <c r="C11" s="2" t="s">
        <v>8</v>
      </c>
      <c r="D11" s="3">
        <v>441</v>
      </c>
      <c r="E11" s="3">
        <v>79</v>
      </c>
    </row>
    <row r="12" spans="1:5" ht="15" hidden="1" thickBot="1" x14ac:dyDescent="0.4">
      <c r="A12" s="1">
        <v>45387.263159722221</v>
      </c>
      <c r="B12" s="2" t="s">
        <v>7</v>
      </c>
      <c r="C12" s="2" t="s">
        <v>6</v>
      </c>
      <c r="D12" s="3">
        <v>205</v>
      </c>
      <c r="E12" s="3">
        <v>23</v>
      </c>
    </row>
    <row r="13" spans="1:5" ht="15" thickBot="1" x14ac:dyDescent="0.4">
      <c r="A13" s="1">
        <v>45396.789479166669</v>
      </c>
      <c r="B13" s="2" t="s">
        <v>5</v>
      </c>
      <c r="C13" s="2" t="s">
        <v>8</v>
      </c>
      <c r="D13" s="3">
        <v>483</v>
      </c>
      <c r="E13" s="3">
        <v>97</v>
      </c>
    </row>
    <row r="14" spans="1:5" ht="15" thickBot="1" x14ac:dyDescent="0.4">
      <c r="A14" s="1">
        <v>45406.315787037034</v>
      </c>
      <c r="B14" s="2" t="s">
        <v>10</v>
      </c>
      <c r="C14" s="2" t="s">
        <v>6</v>
      </c>
      <c r="D14" s="3">
        <v>467</v>
      </c>
      <c r="E14" s="3">
        <v>97</v>
      </c>
    </row>
    <row r="15" spans="1:5" ht="15" thickBot="1" x14ac:dyDescent="0.4">
      <c r="A15" s="1">
        <v>45415.842106481483</v>
      </c>
      <c r="B15" s="2" t="s">
        <v>5</v>
      </c>
      <c r="C15" s="2" t="s">
        <v>6</v>
      </c>
      <c r="D15" s="3">
        <v>380</v>
      </c>
      <c r="E15" s="3">
        <v>92</v>
      </c>
    </row>
    <row r="16" spans="1:5" ht="15" thickBot="1" x14ac:dyDescent="0.4">
      <c r="A16" s="1">
        <v>45425.368425925924</v>
      </c>
      <c r="B16" s="2" t="s">
        <v>7</v>
      </c>
      <c r="C16" s="2" t="s">
        <v>8</v>
      </c>
      <c r="D16" s="3">
        <v>497</v>
      </c>
      <c r="E16" s="3">
        <v>71</v>
      </c>
    </row>
    <row r="17" spans="1:5" ht="15" thickBot="1" x14ac:dyDescent="0.4">
      <c r="A17" s="1">
        <v>45434.894733796296</v>
      </c>
      <c r="B17" s="2" t="s">
        <v>7</v>
      </c>
      <c r="C17" s="2" t="s">
        <v>6</v>
      </c>
      <c r="D17" s="3">
        <v>409</v>
      </c>
      <c r="E17" s="3">
        <v>81</v>
      </c>
    </row>
    <row r="18" spans="1:5" ht="15" hidden="1" thickBot="1" x14ac:dyDescent="0.4">
      <c r="A18" s="1">
        <v>45444.421053240738</v>
      </c>
      <c r="B18" s="2" t="s">
        <v>5</v>
      </c>
      <c r="C18" s="2" t="s">
        <v>8</v>
      </c>
      <c r="D18" s="3">
        <v>53</v>
      </c>
      <c r="E18" s="3">
        <v>45</v>
      </c>
    </row>
    <row r="19" spans="1:5" ht="15" thickBot="1" x14ac:dyDescent="0.4">
      <c r="A19" s="1">
        <v>45453.947372685187</v>
      </c>
      <c r="B19" s="2" t="s">
        <v>5</v>
      </c>
      <c r="C19" s="2" t="s">
        <v>9</v>
      </c>
      <c r="D19" s="3">
        <v>398</v>
      </c>
      <c r="E19" s="3">
        <v>33</v>
      </c>
    </row>
    <row r="20" spans="1:5" ht="15" hidden="1" thickBot="1" x14ac:dyDescent="0.4">
      <c r="A20" s="1">
        <v>45463.473680555559</v>
      </c>
      <c r="B20" s="2" t="s">
        <v>11</v>
      </c>
      <c r="C20" s="2" t="s">
        <v>8</v>
      </c>
      <c r="D20" s="3">
        <v>347</v>
      </c>
      <c r="E20" s="3">
        <v>35</v>
      </c>
    </row>
    <row r="21" spans="1:5" hidden="1" x14ac:dyDescent="0.35">
      <c r="A21" s="6">
        <v>45473</v>
      </c>
      <c r="B21" s="7" t="s">
        <v>7</v>
      </c>
      <c r="C21" s="7" t="s">
        <v>9</v>
      </c>
      <c r="D21" s="8">
        <v>319</v>
      </c>
      <c r="E21" s="8">
        <v>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39025-725D-47C2-9249-515B1ECD98E6}">
  <dimension ref="B4:C11"/>
  <sheetViews>
    <sheetView workbookViewId="0">
      <selection activeCell="G17" sqref="G17"/>
    </sheetView>
  </sheetViews>
  <sheetFormatPr defaultRowHeight="14.5" x14ac:dyDescent="0.35"/>
  <cols>
    <col min="2" max="2" width="12.36328125" bestFit="1" customWidth="1"/>
    <col min="3" max="3" width="11.26953125" bestFit="1" customWidth="1"/>
  </cols>
  <sheetData>
    <row r="4" spans="2:3" x14ac:dyDescent="0.35">
      <c r="B4" s="9" t="s">
        <v>12</v>
      </c>
      <c r="C4" t="s">
        <v>14</v>
      </c>
    </row>
    <row r="5" spans="2:3" x14ac:dyDescent="0.35">
      <c r="B5" s="14" t="s">
        <v>16</v>
      </c>
      <c r="C5" s="11">
        <v>1281</v>
      </c>
    </row>
    <row r="6" spans="2:3" x14ac:dyDescent="0.35">
      <c r="B6" s="14" t="s">
        <v>17</v>
      </c>
      <c r="C6" s="11">
        <v>1032</v>
      </c>
    </row>
    <row r="7" spans="2:3" x14ac:dyDescent="0.35">
      <c r="B7" s="14" t="s">
        <v>18</v>
      </c>
      <c r="C7" s="11">
        <v>958</v>
      </c>
    </row>
    <row r="8" spans="2:3" x14ac:dyDescent="0.35">
      <c r="B8" s="14" t="s">
        <v>19</v>
      </c>
      <c r="C8" s="11">
        <v>1155</v>
      </c>
    </row>
    <row r="9" spans="2:3" x14ac:dyDescent="0.35">
      <c r="B9" s="14" t="s">
        <v>20</v>
      </c>
      <c r="C9" s="11">
        <v>1286</v>
      </c>
    </row>
    <row r="10" spans="2:3" x14ac:dyDescent="0.35">
      <c r="B10" s="14" t="s">
        <v>21</v>
      </c>
      <c r="C10" s="11">
        <v>1117</v>
      </c>
    </row>
    <row r="11" spans="2:3" x14ac:dyDescent="0.35">
      <c r="B11" s="14" t="s">
        <v>13</v>
      </c>
      <c r="C11" s="11">
        <v>6829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99F3E-E033-4248-8D73-7132EEF0B0A6}">
  <dimension ref="A1:E21"/>
  <sheetViews>
    <sheetView zoomScale="82" zoomScaleNormal="82" workbookViewId="0">
      <selection activeCell="M17" sqref="M17"/>
    </sheetView>
  </sheetViews>
  <sheetFormatPr defaultRowHeight="14.5" x14ac:dyDescent="0.35"/>
  <cols>
    <col min="1" max="1" width="14.54296875" bestFit="1" customWidth="1"/>
    <col min="2" max="2" width="11" bestFit="1" customWidth="1"/>
    <col min="3" max="3" width="12" bestFit="1" customWidth="1"/>
    <col min="4" max="4" width="9.54296875" bestFit="1" customWidth="1"/>
    <col min="5" max="5" width="12.7265625" bestFit="1" customWidth="1"/>
  </cols>
  <sheetData>
    <row r="1" spans="1:5" ht="15" thickBot="1" x14ac:dyDescent="0.4">
      <c r="A1" s="4" t="s">
        <v>0</v>
      </c>
      <c r="B1" s="5" t="s">
        <v>1</v>
      </c>
      <c r="C1" s="5" t="s">
        <v>2</v>
      </c>
      <c r="D1" s="5" t="s">
        <v>3</v>
      </c>
      <c r="E1" s="5" t="s">
        <v>4</v>
      </c>
    </row>
    <row r="2" spans="1:5" ht="15" thickBot="1" x14ac:dyDescent="0.4">
      <c r="A2" s="1">
        <v>45292</v>
      </c>
      <c r="B2" s="2" t="s">
        <v>5</v>
      </c>
      <c r="C2" s="2" t="s">
        <v>6</v>
      </c>
      <c r="D2" s="3">
        <v>456</v>
      </c>
      <c r="E2" s="3">
        <v>93</v>
      </c>
    </row>
    <row r="3" spans="1:5" ht="15" thickBot="1" x14ac:dyDescent="0.4">
      <c r="A3" s="1">
        <v>45301.526319444441</v>
      </c>
      <c r="B3" s="2" t="s">
        <v>7</v>
      </c>
      <c r="C3" s="2" t="s">
        <v>8</v>
      </c>
      <c r="D3" s="3">
        <v>348</v>
      </c>
      <c r="E3" s="3">
        <v>56</v>
      </c>
    </row>
    <row r="4" spans="1:5" ht="15" thickBot="1" x14ac:dyDescent="0.4">
      <c r="A4" s="1">
        <v>45311.052627314813</v>
      </c>
      <c r="B4" s="2" t="s">
        <v>7</v>
      </c>
      <c r="C4" s="2" t="s">
        <v>6</v>
      </c>
      <c r="D4" s="3">
        <v>247</v>
      </c>
      <c r="E4" s="3">
        <v>76</v>
      </c>
    </row>
    <row r="5" spans="1:5" ht="15" thickBot="1" x14ac:dyDescent="0.4">
      <c r="A5" s="1">
        <v>45320.578946759262</v>
      </c>
      <c r="B5" s="2" t="s">
        <v>5</v>
      </c>
      <c r="C5" s="2" t="s">
        <v>9</v>
      </c>
      <c r="D5" s="3">
        <v>230</v>
      </c>
      <c r="E5" s="3">
        <v>37</v>
      </c>
    </row>
    <row r="6" spans="1:5" ht="15" thickBot="1" x14ac:dyDescent="0.4">
      <c r="A6" s="1">
        <v>45330.105266203704</v>
      </c>
      <c r="B6" s="2" t="s">
        <v>5</v>
      </c>
      <c r="C6" s="2" t="s">
        <v>6</v>
      </c>
      <c r="D6" s="3">
        <v>281</v>
      </c>
      <c r="E6" s="3">
        <v>50</v>
      </c>
    </row>
    <row r="7" spans="1:5" ht="15" thickBot="1" x14ac:dyDescent="0.4">
      <c r="A7" s="1">
        <v>45339.631574074076</v>
      </c>
      <c r="B7" s="2" t="s">
        <v>5</v>
      </c>
      <c r="C7" s="2" t="s">
        <v>8</v>
      </c>
      <c r="D7" s="3">
        <v>334</v>
      </c>
      <c r="E7" s="3">
        <v>52</v>
      </c>
    </row>
    <row r="8" spans="1:5" ht="15" thickBot="1" x14ac:dyDescent="0.4">
      <c r="A8" s="1">
        <v>45349.157893518517</v>
      </c>
      <c r="B8" s="2" t="s">
        <v>7</v>
      </c>
      <c r="C8" s="2" t="s">
        <v>9</v>
      </c>
      <c r="D8" s="3">
        <v>417</v>
      </c>
      <c r="E8" s="3">
        <v>29</v>
      </c>
    </row>
    <row r="9" spans="1:5" ht="15" thickBot="1" x14ac:dyDescent="0.4">
      <c r="A9" s="1">
        <v>45358.684212962966</v>
      </c>
      <c r="B9" s="2" t="s">
        <v>5</v>
      </c>
      <c r="C9" s="2" t="s">
        <v>9</v>
      </c>
      <c r="D9" s="3">
        <v>441</v>
      </c>
      <c r="E9" s="3">
        <v>44</v>
      </c>
    </row>
    <row r="10" spans="1:5" ht="15" thickBot="1" x14ac:dyDescent="0.4">
      <c r="A10" s="1">
        <v>45368.210520833331</v>
      </c>
      <c r="B10" s="2" t="s">
        <v>7</v>
      </c>
      <c r="C10" s="2" t="s">
        <v>6</v>
      </c>
      <c r="D10" s="3">
        <v>76</v>
      </c>
      <c r="E10" s="3">
        <v>63</v>
      </c>
    </row>
    <row r="11" spans="1:5" ht="15" thickBot="1" x14ac:dyDescent="0.4">
      <c r="A11" s="1">
        <v>45377.736840277779</v>
      </c>
      <c r="B11" s="2" t="s">
        <v>5</v>
      </c>
      <c r="C11" s="2" t="s">
        <v>8</v>
      </c>
      <c r="D11" s="3">
        <v>441</v>
      </c>
      <c r="E11" s="3">
        <v>79</v>
      </c>
    </row>
    <row r="12" spans="1:5" ht="15" thickBot="1" x14ac:dyDescent="0.4">
      <c r="A12" s="1">
        <v>45387.263159722221</v>
      </c>
      <c r="B12" s="2" t="s">
        <v>7</v>
      </c>
      <c r="C12" s="2" t="s">
        <v>6</v>
      </c>
      <c r="D12" s="3">
        <v>205</v>
      </c>
      <c r="E12" s="3">
        <v>23</v>
      </c>
    </row>
    <row r="13" spans="1:5" ht="15" thickBot="1" x14ac:dyDescent="0.4">
      <c r="A13" s="1">
        <v>45396.789479166669</v>
      </c>
      <c r="B13" s="2" t="s">
        <v>5</v>
      </c>
      <c r="C13" s="2" t="s">
        <v>8</v>
      </c>
      <c r="D13" s="3">
        <v>483</v>
      </c>
      <c r="E13" s="3">
        <v>97</v>
      </c>
    </row>
    <row r="14" spans="1:5" ht="15" thickBot="1" x14ac:dyDescent="0.4">
      <c r="A14" s="1">
        <v>45406.315787037034</v>
      </c>
      <c r="B14" s="2" t="s">
        <v>10</v>
      </c>
      <c r="C14" s="2" t="s">
        <v>6</v>
      </c>
      <c r="D14" s="3">
        <v>467</v>
      </c>
      <c r="E14" s="3">
        <v>97</v>
      </c>
    </row>
    <row r="15" spans="1:5" ht="15" thickBot="1" x14ac:dyDescent="0.4">
      <c r="A15" s="1">
        <v>45415.842106481483</v>
      </c>
      <c r="B15" s="2" t="s">
        <v>5</v>
      </c>
      <c r="C15" s="2" t="s">
        <v>6</v>
      </c>
      <c r="D15" s="3">
        <v>380</v>
      </c>
      <c r="E15" s="3">
        <v>92</v>
      </c>
    </row>
    <row r="16" spans="1:5" ht="15" thickBot="1" x14ac:dyDescent="0.4">
      <c r="A16" s="1">
        <v>45425.368425925924</v>
      </c>
      <c r="B16" s="2" t="s">
        <v>7</v>
      </c>
      <c r="C16" s="2" t="s">
        <v>8</v>
      </c>
      <c r="D16" s="3">
        <v>497</v>
      </c>
      <c r="E16" s="3">
        <v>71</v>
      </c>
    </row>
    <row r="17" spans="1:5" ht="15" thickBot="1" x14ac:dyDescent="0.4">
      <c r="A17" s="1">
        <v>45434.894733796296</v>
      </c>
      <c r="B17" s="2" t="s">
        <v>7</v>
      </c>
      <c r="C17" s="2" t="s">
        <v>6</v>
      </c>
      <c r="D17" s="3">
        <v>409</v>
      </c>
      <c r="E17" s="3">
        <v>81</v>
      </c>
    </row>
    <row r="18" spans="1:5" ht="15" thickBot="1" x14ac:dyDescent="0.4">
      <c r="A18" s="1">
        <v>45444.421053240738</v>
      </c>
      <c r="B18" s="2" t="s">
        <v>5</v>
      </c>
      <c r="C18" s="2" t="s">
        <v>8</v>
      </c>
      <c r="D18" s="3">
        <v>53</v>
      </c>
      <c r="E18" s="3">
        <v>45</v>
      </c>
    </row>
    <row r="19" spans="1:5" ht="15" thickBot="1" x14ac:dyDescent="0.4">
      <c r="A19" s="1">
        <v>45453.947372685187</v>
      </c>
      <c r="B19" s="2" t="s">
        <v>5</v>
      </c>
      <c r="C19" s="2" t="s">
        <v>9</v>
      </c>
      <c r="D19" s="3">
        <v>398</v>
      </c>
      <c r="E19" s="3">
        <v>33</v>
      </c>
    </row>
    <row r="20" spans="1:5" ht="15" thickBot="1" x14ac:dyDescent="0.4">
      <c r="A20" s="1">
        <v>45463.473680555559</v>
      </c>
      <c r="B20" s="2" t="s">
        <v>11</v>
      </c>
      <c r="C20" s="2" t="s">
        <v>8</v>
      </c>
      <c r="D20" s="3">
        <v>347</v>
      </c>
      <c r="E20" s="3">
        <v>35</v>
      </c>
    </row>
    <row r="21" spans="1:5" x14ac:dyDescent="0.35">
      <c r="A21" s="6">
        <v>45473</v>
      </c>
      <c r="B21" s="7" t="s">
        <v>7</v>
      </c>
      <c r="C21" s="7" t="s">
        <v>9</v>
      </c>
      <c r="D21" s="8">
        <v>319</v>
      </c>
      <c r="E21" s="8">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24451-3ED3-4EAD-AAE4-3EE3E233563C}">
  <dimension ref="A4:B9"/>
  <sheetViews>
    <sheetView workbookViewId="0">
      <selection activeCell="M18" sqref="M18"/>
    </sheetView>
  </sheetViews>
  <sheetFormatPr defaultRowHeight="14.5" x14ac:dyDescent="0.35"/>
  <cols>
    <col min="1" max="1" width="12.36328125" bestFit="1" customWidth="1"/>
    <col min="2" max="2" width="11.26953125" bestFit="1" customWidth="1"/>
  </cols>
  <sheetData>
    <row r="4" spans="1:2" x14ac:dyDescent="0.35">
      <c r="A4" s="9" t="s">
        <v>12</v>
      </c>
      <c r="B4" t="s">
        <v>14</v>
      </c>
    </row>
    <row r="5" spans="1:2" x14ac:dyDescent="0.35">
      <c r="A5" s="10" t="s">
        <v>10</v>
      </c>
      <c r="B5" s="11">
        <v>467</v>
      </c>
    </row>
    <row r="6" spans="1:2" x14ac:dyDescent="0.35">
      <c r="A6" s="10" t="s">
        <v>11</v>
      </c>
      <c r="B6" s="11">
        <v>347</v>
      </c>
    </row>
    <row r="7" spans="1:2" x14ac:dyDescent="0.35">
      <c r="A7" s="10" t="s">
        <v>7</v>
      </c>
      <c r="B7" s="11">
        <v>2518</v>
      </c>
    </row>
    <row r="8" spans="1:2" x14ac:dyDescent="0.35">
      <c r="A8" s="10" t="s">
        <v>5</v>
      </c>
      <c r="B8" s="11">
        <v>3497</v>
      </c>
    </row>
    <row r="9" spans="1:2" x14ac:dyDescent="0.35">
      <c r="A9" s="10" t="s">
        <v>13</v>
      </c>
      <c r="B9" s="11">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DA960-1375-4773-B481-7C931328AD73}">
  <dimension ref="B4:C11"/>
  <sheetViews>
    <sheetView workbookViewId="0">
      <selection activeCell="H12" sqref="H12"/>
    </sheetView>
  </sheetViews>
  <sheetFormatPr defaultRowHeight="14.5" x14ac:dyDescent="0.35"/>
  <cols>
    <col min="2" max="2" width="12.36328125" bestFit="1" customWidth="1"/>
    <col min="3" max="3" width="14.453125" bestFit="1" customWidth="1"/>
  </cols>
  <sheetData>
    <row r="4" spans="2:3" x14ac:dyDescent="0.35">
      <c r="B4" s="9" t="s">
        <v>12</v>
      </c>
      <c r="C4" t="s">
        <v>22</v>
      </c>
    </row>
    <row r="5" spans="2:3" x14ac:dyDescent="0.35">
      <c r="B5" s="14" t="s">
        <v>16</v>
      </c>
      <c r="C5" s="11">
        <v>320.25</v>
      </c>
    </row>
    <row r="6" spans="2:3" x14ac:dyDescent="0.35">
      <c r="B6" s="14" t="s">
        <v>17</v>
      </c>
      <c r="C6" s="11">
        <v>344</v>
      </c>
    </row>
    <row r="7" spans="2:3" x14ac:dyDescent="0.35">
      <c r="B7" s="14" t="s">
        <v>18</v>
      </c>
      <c r="C7" s="11">
        <v>319.33333333333331</v>
      </c>
    </row>
    <row r="8" spans="2:3" x14ac:dyDescent="0.35">
      <c r="B8" s="14" t="s">
        <v>19</v>
      </c>
      <c r="C8" s="11">
        <v>385</v>
      </c>
    </row>
    <row r="9" spans="2:3" x14ac:dyDescent="0.35">
      <c r="B9" s="14" t="s">
        <v>20</v>
      </c>
      <c r="C9" s="11">
        <v>428.66666666666669</v>
      </c>
    </row>
    <row r="10" spans="2:3" x14ac:dyDescent="0.35">
      <c r="B10" s="14" t="s">
        <v>21</v>
      </c>
      <c r="C10" s="11">
        <v>279.25</v>
      </c>
    </row>
    <row r="11" spans="2:3" x14ac:dyDescent="0.35">
      <c r="B11" s="14" t="s">
        <v>13</v>
      </c>
      <c r="C11" s="11">
        <v>341.45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31331-1775-4FE9-BEA4-214977B8792F}">
  <dimension ref="B3:C4"/>
  <sheetViews>
    <sheetView topLeftCell="A3" workbookViewId="0">
      <selection activeCell="J17" sqref="J17"/>
    </sheetView>
  </sheetViews>
  <sheetFormatPr defaultRowHeight="14.5" x14ac:dyDescent="0.35"/>
  <cols>
    <col min="2" max="2" width="20.1796875" bestFit="1" customWidth="1"/>
  </cols>
  <sheetData>
    <row r="3" spans="2:3" x14ac:dyDescent="0.35">
      <c r="B3" t="s">
        <v>23</v>
      </c>
      <c r="C3">
        <f>SUMIF(Table1[Product],"Apples",Table1[Sales])+SUMIF(Table1[Product],"Oranges",Table1[Sales])</f>
        <v>4308</v>
      </c>
    </row>
    <row r="4" spans="2:3" x14ac:dyDescent="0.35">
      <c r="B4" t="s">
        <v>6</v>
      </c>
      <c r="C4">
        <f>SUMIF(Table1[Product],"Mangoes",Table1[Sales])</f>
        <v>2521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 Data</vt:lpstr>
      <vt:lpstr>Total sales by Region</vt:lpstr>
      <vt:lpstr>Conditional formatting</vt:lpstr>
      <vt:lpstr>sorting</vt:lpstr>
      <vt:lpstr>Filter</vt:lpstr>
      <vt:lpstr>Monthly sales trend</vt:lpstr>
      <vt:lpstr>Slicer</vt:lpstr>
      <vt:lpstr>Dashboard</vt:lpstr>
      <vt:lpstr>Average sales per month</vt:lpstr>
      <vt:lpstr>Comparing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2026-02-24T06:33:55Z</dcterms:created>
  <dcterms:modified xsi:type="dcterms:W3CDTF">2026-02-24T07:18:14Z</dcterms:modified>
</cp:coreProperties>
</file>